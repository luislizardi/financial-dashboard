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cb8230cb7254a08/Documentos/Python programas/"/>
    </mc:Choice>
  </mc:AlternateContent>
  <xr:revisionPtr revIDLastSave="0" documentId="8_{AE456156-06C9-4620-8F0F-EA061AE31D37}" xr6:coauthVersionLast="47" xr6:coauthVersionMax="47" xr10:uidLastSave="{00000000-0000-0000-0000-000000000000}"/>
  <bookViews>
    <workbookView xWindow="30195" yWindow="1395" windowWidth="21600" windowHeight="11235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B50" i="11"/>
  <c r="A50" i="11"/>
  <c r="B49" i="11"/>
  <c r="A49" i="11"/>
  <c r="A48" i="11"/>
  <c r="A47" i="11"/>
  <c r="A46" i="11"/>
  <c r="B45" i="11"/>
  <c r="A45" i="11"/>
  <c r="A44" i="11"/>
  <c r="A43" i="11"/>
  <c r="B42" i="11"/>
  <c r="A42" i="11"/>
  <c r="B41" i="11"/>
  <c r="A41" i="11"/>
  <c r="A40" i="11"/>
  <c r="A39" i="11"/>
  <c r="A38" i="11"/>
  <c r="B37" i="11"/>
  <c r="A37" i="11"/>
  <c r="B36" i="11"/>
  <c r="A36" i="11"/>
  <c r="A35" i="11"/>
  <c r="A34" i="11"/>
  <c r="B33" i="11"/>
  <c r="A33" i="11"/>
  <c r="B32" i="11"/>
  <c r="A32" i="11"/>
  <c r="A31" i="11"/>
  <c r="A30" i="11"/>
  <c r="B29" i="11"/>
  <c r="A29" i="11"/>
  <c r="A28" i="11"/>
  <c r="A27" i="11"/>
  <c r="A26" i="11"/>
  <c r="A25" i="11"/>
  <c r="B24" i="11"/>
  <c r="A24" i="11"/>
  <c r="A23" i="11"/>
  <c r="A22" i="11"/>
  <c r="B21" i="11"/>
  <c r="A21" i="11"/>
  <c r="A20" i="11"/>
  <c r="A19" i="11"/>
  <c r="A18" i="11"/>
  <c r="A17" i="11"/>
  <c r="B16" i="11"/>
  <c r="A16" i="11"/>
  <c r="A15" i="11"/>
  <c r="A14" i="11"/>
  <c r="B13" i="11"/>
  <c r="A13" i="11"/>
  <c r="A12" i="11"/>
  <c r="A11" i="11"/>
  <c r="A10" i="11"/>
  <c r="A9" i="11"/>
  <c r="B8" i="11"/>
  <c r="A8" i="11"/>
  <c r="A7" i="11"/>
  <c r="A6" i="11"/>
  <c r="B5" i="11"/>
  <c r="A5" i="11"/>
  <c r="A4" i="11"/>
  <c r="A3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81" i="3"/>
  <c r="H80" i="3"/>
  <c r="H79" i="3"/>
  <c r="H78" i="3"/>
  <c r="B78" i="2" s="1"/>
  <c r="H77" i="3"/>
  <c r="H76" i="3"/>
  <c r="H75" i="3"/>
  <c r="B75" i="2" s="1"/>
  <c r="H74" i="3"/>
  <c r="H73" i="3"/>
  <c r="H72" i="3"/>
  <c r="H71" i="3"/>
  <c r="H70" i="3"/>
  <c r="B70" i="2" s="1"/>
  <c r="H69" i="3"/>
  <c r="H68" i="3"/>
  <c r="H67" i="3"/>
  <c r="B67" i="2" s="1"/>
  <c r="H66" i="3"/>
  <c r="H65" i="3"/>
  <c r="H64" i="3"/>
  <c r="H63" i="3"/>
  <c r="H62" i="3"/>
  <c r="B62" i="2" s="1"/>
  <c r="H61" i="3"/>
  <c r="H60" i="3"/>
  <c r="H59" i="3"/>
  <c r="B59" i="2" s="1"/>
  <c r="H58" i="3"/>
  <c r="H57" i="3"/>
  <c r="H56" i="3"/>
  <c r="H55" i="3"/>
  <c r="H54" i="3"/>
  <c r="B54" i="2" s="1"/>
  <c r="H53" i="3"/>
  <c r="H52" i="3"/>
  <c r="H51" i="3"/>
  <c r="B51" i="2" s="1"/>
  <c r="H50" i="3"/>
  <c r="H49" i="3"/>
  <c r="H48" i="3"/>
  <c r="B48" i="11" s="1"/>
  <c r="H47" i="3"/>
  <c r="B47" i="11" s="1"/>
  <c r="H46" i="3"/>
  <c r="B46" i="11" s="1"/>
  <c r="H45" i="3"/>
  <c r="H44" i="3"/>
  <c r="B44" i="11" s="1"/>
  <c r="H43" i="3"/>
  <c r="B43" i="11" s="1"/>
  <c r="H42" i="3"/>
  <c r="H41" i="3"/>
  <c r="H40" i="3"/>
  <c r="B40" i="11" s="1"/>
  <c r="H39" i="3"/>
  <c r="B39" i="11" s="1"/>
  <c r="H38" i="3"/>
  <c r="B38" i="11" s="1"/>
  <c r="H36" i="3"/>
  <c r="H35" i="3"/>
  <c r="B35" i="11" s="1"/>
  <c r="H34" i="3"/>
  <c r="B34" i="2" s="1"/>
  <c r="H33" i="3"/>
  <c r="H31" i="3"/>
  <c r="B31" i="11" s="1"/>
  <c r="H30" i="3"/>
  <c r="B30" i="11" s="1"/>
  <c r="H29" i="3"/>
  <c r="H28" i="3"/>
  <c r="B28" i="11" s="1"/>
  <c r="H27" i="3"/>
  <c r="B27" i="11" s="1"/>
  <c r="H26" i="3"/>
  <c r="B26" i="11" s="1"/>
  <c r="H25" i="3"/>
  <c r="B25" i="11" s="1"/>
  <c r="H24" i="3"/>
  <c r="H23" i="3"/>
  <c r="B23" i="11" s="1"/>
  <c r="H22" i="3"/>
  <c r="B22" i="11" s="1"/>
  <c r="H21" i="3"/>
  <c r="H20" i="3"/>
  <c r="B20" i="11" s="1"/>
  <c r="H19" i="3"/>
  <c r="B19" i="11" s="1"/>
  <c r="H18" i="3"/>
  <c r="B18" i="11" s="1"/>
  <c r="H17" i="3"/>
  <c r="B17" i="11" s="1"/>
  <c r="H16" i="3"/>
  <c r="H15" i="3"/>
  <c r="B15" i="11" s="1"/>
  <c r="H14" i="3"/>
  <c r="B14" i="11" s="1"/>
  <c r="H13" i="3"/>
  <c r="H12" i="3"/>
  <c r="B12" i="11" s="1"/>
  <c r="H11" i="3"/>
  <c r="B11" i="11" s="1"/>
  <c r="H10" i="3"/>
  <c r="B10" i="11" s="1"/>
  <c r="H9" i="3"/>
  <c r="B9" i="11" s="1"/>
  <c r="H8" i="3"/>
  <c r="H7" i="3"/>
  <c r="B7" i="11" s="1"/>
  <c r="H6" i="3"/>
  <c r="B6" i="11" s="1"/>
  <c r="H5" i="3"/>
  <c r="H4" i="3"/>
  <c r="B4" i="11" s="1"/>
  <c r="H3" i="3"/>
  <c r="B3" i="11" s="1"/>
  <c r="H2" i="3"/>
  <c r="B2" i="11" s="1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A78" i="2"/>
  <c r="B77" i="2"/>
  <c r="A77" i="2"/>
  <c r="B76" i="2"/>
  <c r="A76" i="2"/>
  <c r="A75" i="2"/>
  <c r="B74" i="2"/>
  <c r="A74" i="2"/>
  <c r="B73" i="2"/>
  <c r="A73" i="2"/>
  <c r="B72" i="2"/>
  <c r="A72" i="2"/>
  <c r="B71" i="2"/>
  <c r="A71" i="2"/>
  <c r="A70" i="2"/>
  <c r="B69" i="2"/>
  <c r="A69" i="2"/>
  <c r="B68" i="2"/>
  <c r="A68" i="2"/>
  <c r="A67" i="2"/>
  <c r="B66" i="2"/>
  <c r="A66" i="2"/>
  <c r="B65" i="2"/>
  <c r="A65" i="2"/>
  <c r="B64" i="2"/>
  <c r="A64" i="2"/>
  <c r="B63" i="2"/>
  <c r="A63" i="2"/>
  <c r="A62" i="2"/>
  <c r="B61" i="2"/>
  <c r="A61" i="2"/>
  <c r="B60" i="2"/>
  <c r="A60" i="2"/>
  <c r="A59" i="2"/>
  <c r="B58" i="2"/>
  <c r="A58" i="2"/>
  <c r="B57" i="2"/>
  <c r="A57" i="2"/>
  <c r="B56" i="2"/>
  <c r="A56" i="2"/>
  <c r="B55" i="2"/>
  <c r="A55" i="2"/>
  <c r="A54" i="2"/>
  <c r="A51" i="2"/>
  <c r="B50" i="2"/>
  <c r="A50" i="2"/>
  <c r="B49" i="2"/>
  <c r="A49" i="2"/>
  <c r="A48" i="2"/>
  <c r="B47" i="2"/>
  <c r="A47" i="2"/>
  <c r="B46" i="2"/>
  <c r="A46" i="2"/>
  <c r="B45" i="2"/>
  <c r="A45" i="2"/>
  <c r="A44" i="2"/>
  <c r="A43" i="2"/>
  <c r="B42" i="2"/>
  <c r="A42" i="2"/>
  <c r="B41" i="2"/>
  <c r="A41" i="2"/>
  <c r="A40" i="2"/>
  <c r="B39" i="2"/>
  <c r="A39" i="2"/>
  <c r="B38" i="2"/>
  <c r="A38" i="2"/>
  <c r="B37" i="2"/>
  <c r="A37" i="2"/>
  <c r="B36" i="2"/>
  <c r="A36" i="2"/>
  <c r="B35" i="2"/>
  <c r="A35" i="2"/>
  <c r="A34" i="2"/>
  <c r="B33" i="2"/>
  <c r="A33" i="2"/>
  <c r="B32" i="2"/>
  <c r="A32" i="2"/>
  <c r="B31" i="2"/>
  <c r="A31" i="2"/>
  <c r="B30" i="2"/>
  <c r="A30" i="2"/>
  <c r="B29" i="2"/>
  <c r="A29" i="2"/>
  <c r="A28" i="2"/>
  <c r="B27" i="2"/>
  <c r="A27" i="2"/>
  <c r="B26" i="2"/>
  <c r="A26" i="2"/>
  <c r="A25" i="2"/>
  <c r="B24" i="2"/>
  <c r="A24" i="2"/>
  <c r="B23" i="2"/>
  <c r="A23" i="2"/>
  <c r="B22" i="2"/>
  <c r="A22" i="2"/>
  <c r="B21" i="2"/>
  <c r="A21" i="2"/>
  <c r="A20" i="2"/>
  <c r="B19" i="2"/>
  <c r="A19" i="2"/>
  <c r="B18" i="2"/>
  <c r="A18" i="2"/>
  <c r="A17" i="2"/>
  <c r="B16" i="2"/>
  <c r="A16" i="2"/>
  <c r="B15" i="2"/>
  <c r="A15" i="2"/>
  <c r="B14" i="2"/>
  <c r="A14" i="2"/>
  <c r="B13" i="2"/>
  <c r="A13" i="2"/>
  <c r="A12" i="2"/>
  <c r="B11" i="2"/>
  <c r="A11" i="2"/>
  <c r="B10" i="2"/>
  <c r="A10" i="2"/>
  <c r="A9" i="2"/>
  <c r="B8" i="2"/>
  <c r="A8" i="2"/>
  <c r="B7" i="2"/>
  <c r="A7" i="2"/>
  <c r="B6" i="2"/>
  <c r="A6" i="2"/>
  <c r="B5" i="2"/>
  <c r="A5" i="2"/>
  <c r="A4" i="2"/>
  <c r="B3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17" i="2" l="1"/>
  <c r="B43" i="2"/>
  <c r="B34" i="11"/>
  <c r="B4" i="2"/>
  <c r="B12" i="2"/>
  <c r="B20" i="2"/>
  <c r="B28" i="2"/>
  <c r="B40" i="2"/>
  <c r="B44" i="2"/>
  <c r="B48" i="2"/>
  <c r="B9" i="2"/>
  <c r="B25" i="2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<sst xmlns="http://schemas.openxmlformats.org/spreadsheetml/2006/main" count="51" uniqueCount="29">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</sst>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14" fontId="3" fillId="4" borderId="0" xfId="0" applyNumberFormat="1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2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46120</v>
      </c>
      <c r="B69" s="5">
        <f>Sheet1!H:H</f>
        <v>0.49700000000000033</v>
      </c>
    </row>
    <row r="70" spans="1:2">
      <c r="A70" s="2">
        <f>Sheet1!A:A</f>
        <v>46121</v>
      </c>
      <c r="B70" s="5">
        <f>Sheet1!H:H</f>
        <v>0.49999999999999956</v>
      </c>
    </row>
    <row r="71" spans="1:2">
      <c r="A71" s="2">
        <f>Sheet1!A:A</f>
        <v>46122</v>
      </c>
      <c r="B71" s="5">
        <f>Sheet1!H:H</f>
        <v>0.51600000000000001</v>
      </c>
    </row>
    <row r="72" spans="1:2">
      <c r="A72" s="2">
        <f>Sheet1!A:A</f>
        <v>46125</v>
      </c>
      <c r="B72" s="5">
        <f>Sheet1!H:H</f>
        <v>0.51599999999999957</v>
      </c>
    </row>
    <row r="73" spans="1:2">
      <c r="A73" s="2">
        <f>Sheet1!A:A</f>
        <v>46126</v>
      </c>
      <c r="B73" s="5">
        <f>Sheet1!H:H</f>
        <v>0.50500000000000034</v>
      </c>
    </row>
    <row r="74" spans="1:2">
      <c r="A74" s="2">
        <f>Sheet1!A:A</f>
        <v>46127</v>
      </c>
      <c r="B74" s="5">
        <f>Sheet1!H:H</f>
        <v>0.5129999999999999</v>
      </c>
    </row>
    <row r="75" spans="1:2">
      <c r="A75" s="2">
        <f>Sheet1!A:A</f>
        <v>46128</v>
      </c>
      <c r="B75" s="5">
        <f>Sheet1!H:H</f>
        <v>0.53100000000000014</v>
      </c>
    </row>
    <row r="76" spans="1:2">
      <c r="A76" s="2">
        <f>Sheet1!A:A</f>
        <v>46129</v>
      </c>
      <c r="B76" s="5">
        <f>Sheet1!H:H</f>
        <v>0.54399999999999959</v>
      </c>
    </row>
    <row r="77" spans="1:2">
      <c r="A77" s="2">
        <f>Sheet1!A:A</f>
        <v>46132</v>
      </c>
      <c r="B77" s="5">
        <f>Sheet1!H:H</f>
        <v>0.53399999999999981</v>
      </c>
    </row>
    <row r="78" spans="1:2">
      <c r="A78" s="2">
        <f>Sheet1!A:A</f>
        <v>46133</v>
      </c>
      <c r="B78" s="5">
        <f>Sheet1!H:H</f>
        <v>0.5129999999999999</v>
      </c>
    </row>
    <row r="79" spans="1:2">
      <c r="A79" s="2">
        <f>Sheet1!A:A</f>
        <v>46134</v>
      </c>
      <c r="B79" s="5">
        <f>Sheet1!H:H</f>
        <v>0.49999999999999956</v>
      </c>
    </row>
    <row r="80" spans="1:2">
      <c r="A80" s="2">
        <f>Sheet1!A:A</f>
        <v>46135</v>
      </c>
      <c r="B80" s="5">
        <f>Sheet1!H:H</f>
        <v>0.49800000000000022</v>
      </c>
    </row>
    <row r="81" spans="1:2">
      <c r="A81" s="2">
        <f>Sheet1!A:A</f>
        <v>46136</v>
      </c>
      <c r="B81" s="5">
        <f>Sheet1!H:H</f>
        <v>0.52700000000000058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2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3.886718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81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6616.85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112.95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>
        <v>46120</v>
      </c>
      <c r="B69" s="18">
        <v>6782.81</v>
      </c>
      <c r="C69" s="18">
        <v>24903.17</v>
      </c>
      <c r="D69" s="18">
        <v>47906.92</v>
      </c>
      <c r="E69" s="18">
        <v>4458.34</v>
      </c>
      <c r="F69" s="43">
        <v>4.2910000000000004</v>
      </c>
      <c r="G69" s="44">
        <v>3.794</v>
      </c>
      <c r="H69" s="21">
        <f t="shared" si="2"/>
        <v>0.49700000000000033</v>
      </c>
      <c r="I69" s="45">
        <v>21.04</v>
      </c>
      <c r="J69" s="18">
        <v>99.13</v>
      </c>
      <c r="K69" s="46">
        <v>0.85770000000000002</v>
      </c>
      <c r="L69" s="18">
        <v>97.1</v>
      </c>
      <c r="M69" s="18">
        <v>4738.7</v>
      </c>
      <c r="N69" s="44">
        <v>475.95800000000003</v>
      </c>
      <c r="O69" s="44">
        <v>73.795000000000002</v>
      </c>
    </row>
    <row r="70" spans="1:15" ht="16.5" customHeight="1">
      <c r="A70" s="42">
        <v>46121</v>
      </c>
      <c r="B70" s="18">
        <v>6824.66</v>
      </c>
      <c r="C70" s="18">
        <v>25082.09</v>
      </c>
      <c r="D70" s="18">
        <v>48185.8</v>
      </c>
      <c r="E70" s="18">
        <v>4452.6499999999996</v>
      </c>
      <c r="F70" s="43">
        <v>4.2889999999999997</v>
      </c>
      <c r="G70" s="44">
        <v>3.7890000000000001</v>
      </c>
      <c r="H70" s="21">
        <f t="shared" si="2"/>
        <v>0.49999999999999956</v>
      </c>
      <c r="I70" s="45">
        <v>19.489999999999998</v>
      </c>
      <c r="J70" s="18">
        <v>98.9</v>
      </c>
      <c r="K70" s="46">
        <v>0.85550000000000004</v>
      </c>
      <c r="L70" s="18">
        <v>98.48</v>
      </c>
      <c r="M70" s="18">
        <v>4780.3999999999996</v>
      </c>
      <c r="N70" s="44">
        <v>476.43400000000003</v>
      </c>
      <c r="O70" s="44">
        <v>75.78</v>
      </c>
    </row>
    <row r="71" spans="1:15" ht="16.5" customHeight="1">
      <c r="A71" s="42">
        <v>46122</v>
      </c>
      <c r="B71" s="18">
        <v>6816.89</v>
      </c>
      <c r="C71" s="18">
        <v>25116.34</v>
      </c>
      <c r="D71" s="18">
        <v>47916.57</v>
      </c>
      <c r="E71" s="18">
        <v>4473.96</v>
      </c>
      <c r="F71" s="43">
        <v>4.3170000000000002</v>
      </c>
      <c r="G71" s="44">
        <v>3.8010000000000002</v>
      </c>
      <c r="H71" s="21">
        <f t="shared" si="2"/>
        <v>0.51600000000000001</v>
      </c>
      <c r="I71" s="45">
        <v>19.23</v>
      </c>
      <c r="J71" s="18">
        <v>98.65</v>
      </c>
      <c r="K71" s="46">
        <v>0.85329999999999995</v>
      </c>
      <c r="L71" s="18">
        <v>96.57</v>
      </c>
      <c r="M71" s="18">
        <v>4787.3999999999996</v>
      </c>
      <c r="N71" s="44">
        <v>477.149</v>
      </c>
      <c r="O71" s="44">
        <v>76.48</v>
      </c>
    </row>
    <row r="72" spans="1:15" ht="16.5" customHeight="1">
      <c r="A72" s="42">
        <v>46125</v>
      </c>
      <c r="B72" s="18">
        <v>6886.24</v>
      </c>
      <c r="C72" s="18">
        <v>25383.72</v>
      </c>
      <c r="D72" s="18">
        <v>48218.25</v>
      </c>
      <c r="E72" s="18">
        <v>4503.84</v>
      </c>
      <c r="F72" s="43">
        <v>4.2969999999999997</v>
      </c>
      <c r="G72" s="44">
        <v>3.7810000000000001</v>
      </c>
      <c r="H72" s="21">
        <f t="shared" si="2"/>
        <v>0.51599999999999957</v>
      </c>
      <c r="I72" s="45">
        <v>19.12</v>
      </c>
      <c r="J72" s="18">
        <v>98.37</v>
      </c>
      <c r="K72" s="46">
        <v>0.8498</v>
      </c>
      <c r="L72" s="18">
        <v>96.57</v>
      </c>
      <c r="M72" s="18">
        <v>4781.47</v>
      </c>
      <c r="N72" s="44">
        <v>477.62599999999998</v>
      </c>
      <c r="O72" s="44">
        <v>75.935000000000002</v>
      </c>
    </row>
    <row r="73" spans="1:15" ht="16.5" customHeight="1">
      <c r="A73" s="42">
        <v>46126</v>
      </c>
      <c r="B73" s="18">
        <v>6967.38</v>
      </c>
      <c r="C73" s="18">
        <v>25842</v>
      </c>
      <c r="D73" s="18">
        <v>48535.99</v>
      </c>
      <c r="E73" s="18">
        <v>4563.68</v>
      </c>
      <c r="F73" s="43">
        <v>4.2560000000000002</v>
      </c>
      <c r="G73" s="44">
        <v>3.7509999999999999</v>
      </c>
      <c r="H73" s="21">
        <f t="shared" si="2"/>
        <v>0.50500000000000034</v>
      </c>
      <c r="I73" s="45">
        <v>18.36</v>
      </c>
      <c r="J73" s="18">
        <v>98.12</v>
      </c>
      <c r="K73" s="46">
        <v>0.8478</v>
      </c>
      <c r="L73" s="18">
        <v>90.3</v>
      </c>
      <c r="M73" s="18">
        <v>4861.95</v>
      </c>
      <c r="N73" s="44">
        <v>478.58100000000002</v>
      </c>
      <c r="O73" s="44">
        <v>79.533000000000001</v>
      </c>
    </row>
    <row r="74" spans="1:15" ht="16.5" customHeight="1">
      <c r="A74" s="42">
        <v>46127</v>
      </c>
      <c r="B74" s="18">
        <v>7022.95</v>
      </c>
      <c r="C74" s="18">
        <v>26204.58</v>
      </c>
      <c r="D74" s="18">
        <v>48463.72</v>
      </c>
      <c r="E74" s="18">
        <v>4587.93</v>
      </c>
      <c r="F74" s="43">
        <v>4.2789999999999999</v>
      </c>
      <c r="G74" s="44">
        <v>3.766</v>
      </c>
      <c r="H74" s="21">
        <f t="shared" si="2"/>
        <v>0.5129999999999999</v>
      </c>
      <c r="I74" s="45">
        <v>18.170000000000002</v>
      </c>
      <c r="J74" s="18">
        <v>98.06</v>
      </c>
      <c r="K74" s="46">
        <v>0.84750000000000003</v>
      </c>
      <c r="L74" s="18">
        <v>91.29</v>
      </c>
      <c r="M74" s="18">
        <v>4823.6000000000004</v>
      </c>
      <c r="N74" s="44">
        <v>479.77800000000002</v>
      </c>
      <c r="O74" s="44">
        <v>79.628</v>
      </c>
    </row>
    <row r="75" spans="1:15" ht="16.5" customHeight="1">
      <c r="A75" s="42">
        <v>46128</v>
      </c>
      <c r="B75" s="18">
        <v>7041.28</v>
      </c>
      <c r="C75" s="18">
        <v>26333</v>
      </c>
      <c r="D75" s="18">
        <v>48578.720000000001</v>
      </c>
      <c r="E75" s="18">
        <v>4595.6499999999996</v>
      </c>
      <c r="F75" s="43">
        <v>4.3090000000000002</v>
      </c>
      <c r="G75" s="44">
        <v>3.778</v>
      </c>
      <c r="H75" s="21">
        <f t="shared" si="2"/>
        <v>0.53100000000000014</v>
      </c>
      <c r="I75" s="45">
        <v>17.940000000000001</v>
      </c>
      <c r="J75" s="18">
        <v>98.21</v>
      </c>
      <c r="K75" s="46">
        <v>0.8488</v>
      </c>
      <c r="L75" s="18">
        <v>94.69</v>
      </c>
      <c r="M75" s="18">
        <v>4808.3</v>
      </c>
      <c r="N75" s="44">
        <v>480.25700000000001</v>
      </c>
      <c r="O75" s="44">
        <v>78.709999999999994</v>
      </c>
    </row>
    <row r="76" spans="1:15" ht="16.5" customHeight="1">
      <c r="A76" s="42">
        <v>46129</v>
      </c>
      <c r="B76" s="18">
        <v>7126.06</v>
      </c>
      <c r="C76" s="18">
        <v>26672.43</v>
      </c>
      <c r="D76" s="18">
        <v>49447.43</v>
      </c>
      <c r="E76" s="18">
        <v>4650.3999999999996</v>
      </c>
      <c r="F76" s="43">
        <v>4.2439999999999998</v>
      </c>
      <c r="G76" s="44">
        <v>3.7</v>
      </c>
      <c r="H76" s="21">
        <f t="shared" si="2"/>
        <v>0.54399999999999959</v>
      </c>
      <c r="I76" s="45">
        <v>17.48</v>
      </c>
      <c r="J76" s="18">
        <v>98.1</v>
      </c>
      <c r="K76" s="46">
        <v>0.85009999999999997</v>
      </c>
      <c r="L76" s="18">
        <v>83.85</v>
      </c>
      <c r="M76" s="18">
        <v>4879.6000000000004</v>
      </c>
      <c r="N76" s="44">
        <v>481.21800000000002</v>
      </c>
      <c r="O76" s="44">
        <v>81.841999999999999</v>
      </c>
    </row>
    <row r="77" spans="1:15" ht="16.5" customHeight="1">
      <c r="A77" s="42">
        <v>46132</v>
      </c>
      <c r="B77" s="18">
        <v>7109.14</v>
      </c>
      <c r="C77" s="18">
        <v>26590.34</v>
      </c>
      <c r="D77" s="18">
        <v>49442.559999999998</v>
      </c>
      <c r="E77" s="18">
        <v>4635.5600000000004</v>
      </c>
      <c r="F77" s="43">
        <v>4.25</v>
      </c>
      <c r="G77" s="44">
        <v>3.7160000000000002</v>
      </c>
      <c r="H77" s="21">
        <f t="shared" si="2"/>
        <v>0.53399999999999981</v>
      </c>
      <c r="I77" s="45">
        <v>18.87</v>
      </c>
      <c r="J77" s="18">
        <v>98.1</v>
      </c>
      <c r="K77" s="46">
        <v>0.84830000000000005</v>
      </c>
      <c r="L77" s="18">
        <v>86.2</v>
      </c>
      <c r="M77" s="18">
        <v>4842.54</v>
      </c>
      <c r="N77" s="44">
        <v>481.69900000000001</v>
      </c>
      <c r="O77" s="44">
        <v>80.02</v>
      </c>
    </row>
    <row r="78" spans="1:15" ht="16.5" customHeight="1">
      <c r="A78" s="42">
        <v>46133</v>
      </c>
      <c r="B78" s="18">
        <v>7064.01</v>
      </c>
      <c r="C78" s="18">
        <v>26479.47</v>
      </c>
      <c r="D78" s="18">
        <v>49149.38</v>
      </c>
      <c r="E78" s="18">
        <v>4602.53</v>
      </c>
      <c r="F78" s="43">
        <v>4.2919999999999998</v>
      </c>
      <c r="G78" s="44">
        <v>3.7789999999999999</v>
      </c>
      <c r="H78" s="21">
        <f t="shared" si="2"/>
        <v>0.5129999999999999</v>
      </c>
      <c r="I78" s="45">
        <v>19.5</v>
      </c>
      <c r="J78" s="18">
        <v>98.39</v>
      </c>
      <c r="K78" s="46">
        <v>0.85150000000000003</v>
      </c>
      <c r="L78" s="18">
        <v>90.51</v>
      </c>
      <c r="M78" s="18">
        <v>4755.8900000000003</v>
      </c>
      <c r="N78" s="44">
        <v>482.75900000000001</v>
      </c>
      <c r="O78" s="44">
        <v>77.314999999999998</v>
      </c>
    </row>
    <row r="79" spans="1:15" ht="16.5" customHeight="1">
      <c r="A79" s="42">
        <v>46134</v>
      </c>
      <c r="B79" s="18">
        <v>7137.9</v>
      </c>
      <c r="C79" s="18">
        <v>26937.279999999999</v>
      </c>
      <c r="D79" s="18">
        <v>49490.03</v>
      </c>
      <c r="E79" s="18">
        <v>4629.58</v>
      </c>
      <c r="F79" s="43">
        <v>4.2939999999999996</v>
      </c>
      <c r="G79" s="44">
        <v>3.794</v>
      </c>
      <c r="H79" s="21">
        <f t="shared" si="2"/>
        <v>0.49999999999999956</v>
      </c>
      <c r="I79" s="45">
        <v>18.920000000000002</v>
      </c>
      <c r="J79" s="18">
        <v>98.59</v>
      </c>
      <c r="K79" s="46">
        <v>0.85440000000000005</v>
      </c>
      <c r="L79" s="18">
        <v>92.74</v>
      </c>
      <c r="M79" s="18">
        <v>4745.04</v>
      </c>
      <c r="N79" s="44">
        <v>483.33800000000002</v>
      </c>
      <c r="O79" s="44">
        <v>77.522000000000006</v>
      </c>
    </row>
    <row r="80" spans="1:15" ht="16.5" customHeight="1">
      <c r="A80" s="42">
        <v>46135</v>
      </c>
      <c r="B80" s="18">
        <v>7108.4</v>
      </c>
      <c r="C80" s="18">
        <v>26782.63</v>
      </c>
      <c r="D80" s="18">
        <v>49310.32</v>
      </c>
      <c r="E80" s="18">
        <v>4613.01</v>
      </c>
      <c r="F80" s="43">
        <v>4.3230000000000004</v>
      </c>
      <c r="G80" s="44">
        <v>3.8250000000000002</v>
      </c>
      <c r="H80" s="21">
        <f t="shared" si="2"/>
        <v>0.49800000000000022</v>
      </c>
      <c r="I80" s="45">
        <v>19.309999999999999</v>
      </c>
      <c r="J80" s="18">
        <v>98.77</v>
      </c>
      <c r="K80" s="46">
        <v>0.85589999999999999</v>
      </c>
      <c r="L80" s="18">
        <v>96.81</v>
      </c>
      <c r="M80" s="18">
        <v>4710.8599999999997</v>
      </c>
      <c r="N80" s="44">
        <v>483.87</v>
      </c>
      <c r="O80" s="44">
        <v>75.454999999999998</v>
      </c>
    </row>
    <row r="81" spans="1:15" ht="16.5" customHeight="1">
      <c r="A81" s="42">
        <v>46136</v>
      </c>
      <c r="B81" s="18">
        <v>7164.73</v>
      </c>
      <c r="C81" s="18">
        <v>27303.67</v>
      </c>
      <c r="D81" s="18">
        <v>49229.48</v>
      </c>
      <c r="E81" s="18">
        <v>4634.45</v>
      </c>
      <c r="F81" s="43">
        <v>4.3070000000000004</v>
      </c>
      <c r="G81" s="44">
        <v>3.78</v>
      </c>
      <c r="H81" s="21">
        <f t="shared" si="2"/>
        <v>0.52700000000000058</v>
      </c>
      <c r="I81" s="45">
        <v>18.62</v>
      </c>
      <c r="J81" s="18">
        <v>98.53</v>
      </c>
      <c r="K81" s="46">
        <v>0.85329999999999995</v>
      </c>
      <c r="L81" s="18">
        <v>94.86</v>
      </c>
      <c r="M81" s="18">
        <v>4727.8100000000004</v>
      </c>
      <c r="N81" s="44">
        <v>484.1</v>
      </c>
      <c r="O81" s="44">
        <v>75.905000000000001</v>
      </c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48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3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6616.85</v>
      </c>
    </row>
    <row r="15" spans="1:2">
      <c r="A15" s="5" t="str">
        <f>Sheet1!O1</f>
        <v>SIlver USD/Oz</v>
      </c>
      <c r="B15" s="34">
        <f>Sheet1!B69</f>
        <v>6782.81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2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2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2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2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2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2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2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2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2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2026-04-24T20:10:06Z</dcterms:created>
  <dcterms:modified xsi:type="dcterms:W3CDTF">2026-04-24T20:10:06Z</dcterms:modified>
</cp:coreProperties>
</file>